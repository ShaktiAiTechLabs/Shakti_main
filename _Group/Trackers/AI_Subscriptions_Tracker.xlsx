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bscripti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<sst xmlns="http://schemas.openxmlformats.org/spreadsheetml/2006/main" count="43" uniqueCount="39">
  <si>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 xml:space="preserve">AI Tool Subscription Cost Tracker (₹ INR)</t>
  </si>
  <si>
    <t xml:space="preserve">All costs converted to Indian Rupees. Claude / Kimi / Emergent tracked for 12 months, Higgsfield for 1 month only. Kimi and Emergent are alternatives (used one at a time, not both) - see Active? column.</t>
  </si>
  <si>
    <t xml:space="preserve">USD to INR exchange rate (assumption):</t>
  </si>
  <si>
    <t xml:space="preserve">Source: mid-market USD/INR rate, late July 2026 (update as needed)</t>
  </si>
  <si>
    <t xml:space="preserve">Service</t>
  </si>
  <si>
    <t xml:space="preserve">Plan Price (Original)</t>
  </si>
  <si>
    <t xml:space="preserve">Currency</t>
  </si>
  <si>
    <t xml:space="preserve">Monthly Cost (INR)</t>
  </si>
  <si>
    <t xml:space="preserve">Duration (Months)</t>
  </si>
  <si>
    <t xml:space="preserve">Active? (Y/N)</t>
  </si>
  <si>
    <t xml:space="preserve">Total Cost (INR)</t>
  </si>
  <si>
    <t xml:space="preserve">Purpose / Why Taken</t>
  </si>
  <si>
    <t xml:space="preserve">Notes</t>
  </si>
  <si>
    <t xml:space="preserve">Claude Max</t>
  </si>
  <si>
    <t xml:space="preserve">INR</t>
  </si>
  <si>
    <t xml:space="preserve">Y</t>
  </si>
  <si>
    <t xml:space="preserve">All-in-one use across the team - coding, product/spec writing, research, content, and agent orchestration (e.g. PRISM synthesis/arbiter). Covers every function, so it's the one subscription everyone relies on daily.</t>
  </si>
  <si>
    <t xml:space="preserve">Direct INR pricing</t>
  </si>
  <si>
    <t xml:space="preserve">Kimi</t>
  </si>
  <si>
    <t xml:space="preserve">USD</t>
  </si>
  <si>
    <t xml:space="preserve">Frontend-side development work - UI/component generation and iteration where its coding output is fast and cost-effective.</t>
  </si>
  <si>
    <t xml:space="preserve">Alternative to Emergent - only one of the two is active at a time, mark Y/N accordingly</t>
  </si>
  <si>
    <t xml:space="preserve">Emergent</t>
  </si>
  <si>
    <t xml:space="preserve">N</t>
  </si>
  <si>
    <t xml:space="preserve">Frontend-side development work - alternative to Kimi for UI/app scaffolding and quick frontend builds.</t>
  </si>
  <si>
    <t xml:space="preserve">Alternative to Kimi - only one of the two is active at a time, mark Y/N accordingly</t>
  </si>
  <si>
    <t xml:space="preserve">Higgsfield</t>
  </si>
  <si>
    <t xml:space="preserve">Video, image, and 3D generation - used specifically for visual/creative asset generation (content, marketing visuals, product demos), not needed as an ongoing monthly cost.</t>
  </si>
  <si>
    <t xml:space="preserve">One month only; converted using exchange rate assumption</t>
  </si>
  <si>
    <t xml:space="preserve">GRAND TOTAL (Active subscriptions only)</t>
  </si>
  <si>
    <t xml:space="preserve">Legend:</t>
  </si>
  <si>
    <t xml:space="preserve">Blue text</t>
  </si>
  <si>
    <t xml:space="preserve">Editable input (price, currency, months, exchange rate)</t>
  </si>
  <si>
    <t xml:space="preserve">Black text</t>
  </si>
  <si>
    <t xml:space="preserve">Calculated formula (do not overwrite)</t>
  </si>
  <si>
    <t xml:space="preserve">Yellow fill</t>
  </si>
  <si>
    <t xml:space="preserve">Key assumption / toggle to review (exchange rate, Active? Y-N for Kimi vs Emergent)</t>
  </si>
  <si>
    <t xml:space="preserve">Note:</t>
  </si>
  <si>
    <t xml:space="preserve">Kimi and Emergent are used as alternatives, not simultaneously - only one should be marked Y at a time so the Grand Total isn't double-counted.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</si>
</sst>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0"/>
    <numFmt numFmtId="166" formatCode="#,##0.00"/>
    <numFmt numFmtId="167" formatCode="\₹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10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12"/>
    <col collapsed="false" customWidth="true" hidden="false" outlineLevel="0" max="7" min="7" style="0" width="18"/>
    <col collapsed="false" customWidth="true" hidden="false" outlineLevel="0" max="8" min="8" style="0" width="55"/>
    <col collapsed="false" customWidth="true" hidden="false" outlineLevel="0" max="9" min="9" style="0" width="42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3"/>
      <c r="D4" s="4" t="n">
        <v>95.9</v>
      </c>
      <c r="E4" s="5" t="s">
        <v>3</v>
      </c>
      <c r="F4" s="5"/>
      <c r="G4" s="5"/>
      <c r="H4" s="5"/>
      <c r="I4" s="5"/>
    </row>
    <row r="6" customFormat="false" ht="15" hidden="false" customHeight="false" outlineLevel="0" collapsed="false">
      <c r="A6" s="6" t="s">
        <v>4</v>
      </c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11</v>
      </c>
      <c r="I6" s="6" t="s">
        <v>12</v>
      </c>
    </row>
    <row r="7" customFormat="false" ht="48" hidden="false" customHeight="true" outlineLevel="0" collapsed="false">
      <c r="A7" s="7" t="s">
        <v>13</v>
      </c>
      <c r="B7" s="8" t="n">
        <v>20645</v>
      </c>
      <c r="C7" s="9" t="s">
        <v>14</v>
      </c>
      <c r="D7" s="10" t="n">
        <f aca="false">IF(C7="USD",B7*$D$4,B7)</f>
        <v>20645</v>
      </c>
      <c r="E7" s="9" t="n">
        <v>12</v>
      </c>
      <c r="F7" s="11" t="s">
        <v>15</v>
      </c>
      <c r="G7" s="10" t="n">
        <f aca="false">IF(F7="Y",D7*E7,0)</f>
        <v>247740</v>
      </c>
      <c r="H7" s="12" t="s">
        <v>16</v>
      </c>
      <c r="I7" s="13" t="s">
        <v>17</v>
      </c>
    </row>
    <row r="8" customFormat="false" ht="48" hidden="false" customHeight="true" outlineLevel="0" collapsed="false">
      <c r="A8" s="7" t="s">
        <v>18</v>
      </c>
      <c r="B8" s="8" t="n">
        <v>15</v>
      </c>
      <c r="C8" s="9" t="s">
        <v>19</v>
      </c>
      <c r="D8" s="10" t="n">
        <f aca="false">IF(C8="USD",B8*$D$4,B8)</f>
        <v>1438.5</v>
      </c>
      <c r="E8" s="9" t="n">
        <v>12</v>
      </c>
      <c r="F8" s="11" t="s">
        <v>15</v>
      </c>
      <c r="G8" s="10" t="n">
        <f aca="false">IF(F8="Y",D8*E8,0)</f>
        <v>17262</v>
      </c>
      <c r="H8" s="12" t="s">
        <v>20</v>
      </c>
      <c r="I8" s="13" t="s">
        <v>21</v>
      </c>
    </row>
    <row r="9" customFormat="false" ht="48" hidden="false" customHeight="true" outlineLevel="0" collapsed="false">
      <c r="A9" s="7" t="s">
        <v>22</v>
      </c>
      <c r="B9" s="8" t="n">
        <v>1300</v>
      </c>
      <c r="C9" s="9" t="s">
        <v>14</v>
      </c>
      <c r="D9" s="10" t="n">
        <f aca="false">IF(C9="USD",B9*$D$4,B9)</f>
        <v>1300</v>
      </c>
      <c r="E9" s="9" t="n">
        <v>12</v>
      </c>
      <c r="F9" s="11" t="s">
        <v>23</v>
      </c>
      <c r="G9" s="10" t="n">
        <f aca="false">IF(F9="Y",D9*E9,0)</f>
        <v>0</v>
      </c>
      <c r="H9" s="12" t="s">
        <v>24</v>
      </c>
      <c r="I9" s="13" t="s">
        <v>25</v>
      </c>
    </row>
    <row r="10" customFormat="false" ht="48" hidden="false" customHeight="true" outlineLevel="0" collapsed="false">
      <c r="A10" s="7" t="s">
        <v>26</v>
      </c>
      <c r="B10" s="8" t="n">
        <v>39</v>
      </c>
      <c r="C10" s="9" t="s">
        <v>19</v>
      </c>
      <c r="D10" s="10" t="n">
        <f aca="false">IF(C10="USD",B10*$D$4,B10)</f>
        <v>3740.1</v>
      </c>
      <c r="E10" s="9" t="n">
        <v>1</v>
      </c>
      <c r="F10" s="11" t="s">
        <v>15</v>
      </c>
      <c r="G10" s="10" t="n">
        <f aca="false">IF(F10="Y",D10*E10,0)</f>
        <v>3740.1</v>
      </c>
      <c r="H10" s="12" t="s">
        <v>27</v>
      </c>
      <c r="I10" s="13" t="s">
        <v>28</v>
      </c>
    </row>
    <row r="11" customFormat="false" ht="15" hidden="false" customHeight="false" outlineLevel="0" collapsed="false">
      <c r="A11" s="14" t="s">
        <v>29</v>
      </c>
      <c r="B11" s="14"/>
      <c r="C11" s="14"/>
      <c r="D11" s="15" t="n">
        <f aca="false">SUMIF(F7:F10,"Y",D7:D10)</f>
        <v>25823.6</v>
      </c>
      <c r="E11" s="16"/>
      <c r="F11" s="16"/>
      <c r="G11" s="15" t="n">
        <f aca="false">SUM(G7:G10)</f>
        <v>268742.1</v>
      </c>
      <c r="H11" s="16"/>
      <c r="I11" s="16"/>
    </row>
    <row r="13" customFormat="false" ht="15" hidden="false" customHeight="false" outlineLevel="0" collapsed="false">
      <c r="A13" s="17" t="s">
        <v>30</v>
      </c>
    </row>
    <row r="14" customFormat="false" ht="15" hidden="false" customHeight="false" outlineLevel="0" collapsed="false">
      <c r="A14" s="18" t="s">
        <v>31</v>
      </c>
      <c r="B14" s="19" t="s">
        <v>32</v>
      </c>
    </row>
    <row r="15" customFormat="false" ht="15" hidden="false" customHeight="false" outlineLevel="0" collapsed="false">
      <c r="A15" s="20" t="s">
        <v>33</v>
      </c>
      <c r="B15" s="19" t="s">
        <v>34</v>
      </c>
    </row>
    <row r="16" customFormat="false" ht="15" hidden="false" customHeight="false" outlineLevel="0" collapsed="false">
      <c r="A16" s="21" t="s">
        <v>35</v>
      </c>
      <c r="B16" s="19" t="s">
        <v>36</v>
      </c>
    </row>
    <row r="17" customFormat="false" ht="15" hidden="false" customHeight="false" outlineLevel="0" collapsed="false">
      <c r="A17" s="17" t="s">
        <v>37</v>
      </c>
      <c r="B17" s="22" t="s">
        <v>38</v>
      </c>
    </row>
  </sheetData>
  <mergeCells count="5">
    <mergeCell ref="A1:I1"/>
    <mergeCell ref="A2:I2"/>
    <mergeCell ref="A4:C4"/>
    <mergeCell ref="E4:I4"/>
    <mergeCell ref="A11:C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2026-07-29T09:05:03Z</dcterms:created>
  <dc:creator>openpyxl</dc:creator>
  <dc:description/>
  <dc:language>en-US</dc:language>
  <cp:lastModifiedBy/>
  <dcterms:modified xsi:type="dcterms:W3CDTF">2026-07-29T09:05:03Z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